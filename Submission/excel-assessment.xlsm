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nya\Downloads\Submission\"/>
    </mc:Choice>
  </mc:AlternateContent>
  <xr:revisionPtr revIDLastSave="0" documentId="13_ncr:1_{F6F2A4F1-17D6-419B-BAEB-C22BF0E7B391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3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H41" i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<sst xmlns="http://schemas.openxmlformats.org/spreadsheetml/2006/main" count="405" uniqueCount="182">
  <si>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</si>
  <si>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</si>
  <si>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</si>
  <si>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</si>
  <si>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</si>
  <si>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</si>
  <si>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</si>
  <si>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</si>
  <si>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</si>
  <si>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</si>
  <si>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</si>
  <si>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</si>
  <si>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</si>
  <si>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</si>
  <si>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</si>
  <si>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</si>
  <si>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</si>
  <si>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</si>
  <si>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</si>
  <si>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</si>
  <si>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</si>
  <si>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</si>
  <si>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</si>
  <si>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</si>
  <si>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</si>
  <si>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</si>
  <si>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</si>
  <si>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</si>
  <si>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</si>
  <si>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</si>
  <si>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</si>
  <si>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</si>
  <si>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</si>
  <si>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</si>
  <si>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</si>
  <si>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</si>
  <si>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</si>
  <si>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</si>
  <si>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</si>
  <si>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</si>
  <si>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</si>
  <si>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</si>
  <si>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</si>
  <si>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</si>
  <si>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</si>
  <si>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</si>
  <si>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</si>
  <si>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</si>
  <si>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</si>
  <si>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</si>
  <si>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</si>
  <si>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</si>
  <si>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</si>
  <si>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</si>
  <si>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</si>
  <si>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</si>
  <si>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</si>
  <si>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</si>
  <si>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</si>
  <si>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</si>
  <si>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</si>
  <si>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</si>
  <si>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</si>
  <si>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</si>
  <si>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</si>
  <si>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</si>
  <si>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</si>
  <si>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</si>
  <si>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</si>
  <si>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</si>
  <si>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</si>
  <si>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</si>
  <si>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</si>
  <si>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</si>
  <si>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</si>
  <si>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</si>
  <si>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</si>
  <si>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</si>
  <si>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</si>
  <si>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</si>
  <si>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</si>
  <si>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</si>
  <si>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</si>
  <si>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</si>
  <si>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</si>
  <si>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</si>
  <si>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</si>
  <si>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</si>
  <si>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</si>
  <si>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</si>
  <si>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</si>
  <si>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</si>
  <si>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</si>
  <si>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</si>
  <si>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</si>
  <si>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</si>
  <si>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</si>
  <si>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</si>
  <si>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</si>
  <si>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</si>
  <si>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</si>
  <si>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</si>
  <si>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</si>
  <si>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</si>
  <si>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</si>
  <si>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</si>
  <si>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</si>
  <si>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</si>
  <si>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</si>
  <si>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</si>
  <si>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</si>
  <si>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</si>
  <si>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</si>
  <si>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</si>
  <si>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</si>
  <si>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</si>
  <si>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</si>
  <si>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</si>
  <si>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</si>
  <si>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</si>
  <si>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</si>
  <si>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</si>
  <si>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</si>
  <si>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</si>
  <si>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</si>
  <si>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</si>
  <si>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</si>
  <si>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</si>
  <si>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</si>
  <si>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</si>
  <si>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</si>
  <si>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</si>
  <si>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</si>
  <si>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</si>
  <si>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</si>
  <si>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</si>
  <si>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</si>
  <si>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</si>
  <si>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</si>
  <si>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</si>
  <si>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</si>
  <si>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</si>
  <si>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</si>
  <si>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</si>
  <si>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</si>
  <si>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</si>
  <si>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</si>
  <si>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</si>
  <si>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</si>
  <si>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</si>
  <si>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</si>
  <si>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</si>
  <si>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</si>
  <si>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</si>
  <si>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</si>
  <si>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</si>
  <si>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</si>
  <si>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</si>
  <si>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</si>
  <si>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</si>
  <si>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</si>
  <si>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</si>
  <si>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</si>
  <si>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</si>
  <si>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</si>
  <si>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</si>
  <si>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</si>
  <si>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</si>
  <si>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</si>
  <si>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</si>
  <si>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</si>
  <si>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</si>
  <si>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</si>
  <si>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</si>
  <si>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</si>
  <si>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</si>
  <si>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</si>
  <si>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</si>
  <si>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First, I copied all the text from the "Values" column to col_1.I employed the "Text to Columns" feature. I chose the "Delimited" option and specified "-" as the delimiter. Finally, I completed the process by clicking the "Finish" button.</t>
  </si>
  <si>
    <r>
      <t xml:space="preserve">I have used  this </t>
    </r>
    <r>
      <rPr>
        <b/>
        <sz val="11"/>
        <color rgb="FF000000"/>
        <rFont val="Calibri"/>
        <family val="2"/>
        <scheme val="minor"/>
      </rPr>
      <t xml:space="preserve">SUMIF(C12:C21, "&lt;&gt;#N/A", C12:C21)+ COUNTIF(C12:C21, "#N/A") * 20 </t>
    </r>
    <r>
      <rPr>
        <sz val="11"/>
        <color rgb="FF000000"/>
        <rFont val="Calibri"/>
        <family val="2"/>
        <scheme val="minor"/>
      </rPr>
      <t>formula. SUMIF(C12:C21, "&lt;&gt;#N/A", C12:C21) It calculates the sum without #N/A values.Then COUNTIF(C12:C21, "#N/A") * 20 it counts how many N/A values are there and multiply it to 20.Then the whole formula add these results.</t>
    </r>
  </si>
  <si>
    <t>I have used index and match function to get the desired output.</t>
  </si>
  <si>
    <t>This formula looks up a value in a table by matching values in columns A and B, using the INDEX and MATCH functions to find the corresponding row and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</si>
</sst>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0" fontId="17" fillId="0" borderId="0" xfId="0" applyFont="1"/>
    <xf numFmtId="0" fontId="3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6" sqref="A26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M1" zoomScaleNormal="100" workbookViewId="0">
      <pane ySplit="1" topLeftCell="A26" activePane="bottomLeft" state="frozen"/>
      <selection activeCell="L1" sqref="L1"/>
      <selection pane="bottomLeft" activeCell="H41" sqref="H4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3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1" spans="1:24" x14ac:dyDescent="0.3">
      <c r="H41" s="44">
        <f>SUMIF(H2:H40,"&gt;20")</f>
        <v>1473.0000000000002</v>
      </c>
    </row>
  </sheetData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A1:XFD1048576">
    <cfRule type="cellIs" dxfId="4" priority="5" operator="equal">
      <formula>-1</formula>
    </cfRule>
  </conditionalFormatting>
  <conditionalFormatting sqref="L2">
    <cfRule type="cellIs" dxfId="3" priority="4" operator="equal">
      <formula>0</formula>
    </cfRule>
  </conditionalFormatting>
  <conditionalFormatting sqref="A1:X40">
    <cfRule type="cellIs" dxfId="2" priority="3" operator="equal">
      <formula>0</formula>
    </cfRule>
  </conditionalFormatting>
  <conditionalFormatting sqref="D4">
    <cfRule type="cellIs" dxfId="1" priority="2" operator="equal">
      <formula>0</formula>
    </cfRule>
  </conditionalFormatting>
  <conditionalFormatting sqref="D1:D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7" sqref="B2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2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2">
        <f>VLOOKUP($A6,Dataset!$A$2:$X$40,7,FALSE)</f>
        <v>2.7</v>
      </c>
      <c r="C6" s="12">
        <f>VLOOKUP($A6, Dataset!$A$2:$X$40, 14, FALSE)</f>
        <v>7.6</v>
      </c>
      <c r="D6" s="12">
        <f>VLOOKUP($A6, Dataset!$A$2:$X$40, 18, FALSE)</f>
        <v>4.2</v>
      </c>
      <c r="E6" s="12">
        <f>VLOOKUP($A6, Dataset!$A$2:$X$40, 20, FALSE)</f>
        <v>8.9</v>
      </c>
      <c r="F6" s="8">
        <f>VLOOKUP($A6, Dataset!$A$2:$X$40, 22, FALSE)</f>
        <v>4.2</v>
      </c>
    </row>
    <row r="7" spans="1:7" ht="14.4" x14ac:dyDescent="0.3">
      <c r="A7" s="7" t="s">
        <v>4</v>
      </c>
      <c r="B7" s="2">
        <f>VLOOKUP($A7,Dataset!$A$2:$X$40,7,FALSE)</f>
        <v>2.7</v>
      </c>
      <c r="C7" s="12">
        <f>VLOOKUP($A7, Dataset!$A$2:$X$40, 14, FALSE)</f>
        <v>7.6</v>
      </c>
      <c r="D7" s="12">
        <f>VLOOKUP($A7, Dataset!$A$2:$X$40, 18, FALSE)</f>
        <v>4.2</v>
      </c>
      <c r="E7" s="12">
        <f>VLOOKUP($A7, Dataset!$A$2:$X$40, 20, FALSE)</f>
        <v>8.9</v>
      </c>
      <c r="F7" s="8">
        <f>VLOOKUP($A7, Dataset!$A$2:$X$40, 22, FALSE)</f>
        <v>4.2</v>
      </c>
    </row>
    <row r="8" spans="1:7" ht="14.4" x14ac:dyDescent="0.3">
      <c r="A8" s="7" t="s">
        <v>7</v>
      </c>
      <c r="B8" s="2">
        <f>VLOOKUP($A8,Dataset!$A$2:$X$40,7,FALSE)</f>
        <v>3.6</v>
      </c>
      <c r="C8" s="12">
        <f>VLOOKUP($A8, Dataset!$A$2:$X$40, 14, FALSE)</f>
        <v>11.1</v>
      </c>
      <c r="D8" s="12">
        <f>VLOOKUP($A8, Dataset!$A$2:$X$40, 18, FALSE)</f>
        <v>5.8</v>
      </c>
      <c r="E8" s="12">
        <f>VLOOKUP($A8, Dataset!$A$2:$X$40, 20, FALSE)</f>
        <v>12.2</v>
      </c>
      <c r="F8" s="8">
        <f>VLOOKUP($A8, Dataset!$A$2:$X$40, 22, FALSE)</f>
        <v>5.8</v>
      </c>
    </row>
    <row r="9" spans="1:7" ht="14.4" x14ac:dyDescent="0.3">
      <c r="A9" s="7" t="s">
        <v>8</v>
      </c>
      <c r="B9" s="2">
        <f>VLOOKUP($A9,Dataset!$A$2:$X$40,7,FALSE)</f>
        <v>4.9000000000000004</v>
      </c>
      <c r="C9" s="12">
        <f>VLOOKUP($A9, Dataset!$A$2:$X$40, 14, FALSE)</f>
        <v>13.3</v>
      </c>
      <c r="D9" s="12">
        <f>VLOOKUP($A9, Dataset!$A$2:$X$40, 18, FALSE)</f>
        <v>8.1</v>
      </c>
      <c r="E9" s="12">
        <f>VLOOKUP($A9, Dataset!$A$2:$X$40, 20, FALSE)</f>
        <v>17</v>
      </c>
      <c r="F9" s="8">
        <f>VLOOKUP($A9, Dataset!$A$2:$X$40, 22, FALSE)</f>
        <v>8.1</v>
      </c>
    </row>
    <row r="10" spans="1:7" ht="14.4" x14ac:dyDescent="0.3">
      <c r="A10" s="7" t="s">
        <v>11</v>
      </c>
      <c r="B10" s="2">
        <f>VLOOKUP($A10,Dataset!$A$2:$X$40,7,FALSE)</f>
        <v>9.4</v>
      </c>
      <c r="C10" s="12">
        <f>VLOOKUP($A10, Dataset!$A$2:$X$40, 14, FALSE)</f>
        <v>28.3</v>
      </c>
      <c r="D10" s="12">
        <f>VLOOKUP($A10, Dataset!$A$2:$X$40, 18, FALSE)</f>
        <v>16.100000000000001</v>
      </c>
      <c r="E10" s="12">
        <f>VLOOKUP($A10, Dataset!$A$2:$X$40, 20, FALSE)</f>
        <v>32.799999999999997</v>
      </c>
      <c r="F10" s="8">
        <f>VLOOKUP($A10, Dataset!$A$2:$X$40, 22, FALSE)</f>
        <v>16.100000000000001</v>
      </c>
    </row>
    <row r="11" spans="1:7" ht="14.4" x14ac:dyDescent="0.3">
      <c r="A11" s="7" t="s">
        <v>12</v>
      </c>
      <c r="B11" s="2">
        <f>VLOOKUP($A11,Dataset!$A$2:$X$40,7,FALSE)</f>
        <v>11.6</v>
      </c>
      <c r="C11" s="12">
        <f>VLOOKUP($A11, Dataset!$A$2:$X$40, 14, FALSE)</f>
        <v>35.200000000000003</v>
      </c>
      <c r="D11" s="12">
        <f>VLOOKUP($A11, Dataset!$A$2:$X$40, 18, FALSE)</f>
        <v>21.3</v>
      </c>
      <c r="E11" s="12">
        <f>VLOOKUP($A11, Dataset!$A$2:$X$40, 20, FALSE)</f>
        <v>43</v>
      </c>
      <c r="F11" s="8">
        <f>VLOOKUP($A11, Dataset!$A$2:$X$40, 22, FALSE)</f>
        <v>21.3</v>
      </c>
    </row>
    <row r="12" spans="1:7" ht="14.4" x14ac:dyDescent="0.3">
      <c r="A12" s="7" t="s">
        <v>14</v>
      </c>
      <c r="B12" s="2">
        <f>VLOOKUP($A12,Dataset!$A$2:$X$40,7,FALSE)</f>
        <v>18.399999999999999</v>
      </c>
      <c r="C12" s="12">
        <f>VLOOKUP($A12, Dataset!$A$2:$X$40, 14, FALSE)</f>
        <v>55.6</v>
      </c>
      <c r="D12" s="12">
        <f>VLOOKUP($A12, Dataset!$A$2:$X$40, 18, FALSE)</f>
        <v>33.799999999999997</v>
      </c>
      <c r="E12" s="12">
        <f>VLOOKUP($A12, Dataset!$A$2:$X$40, 20, FALSE)</f>
        <v>67.900000000000006</v>
      </c>
      <c r="F12" s="8">
        <f>VLOOKUP($A12, Dataset!$A$2:$X$40, 22, FALSE)</f>
        <v>33.799999999999997</v>
      </c>
    </row>
    <row r="13" spans="1:7" ht="14.4" x14ac:dyDescent="0.3">
      <c r="A13" s="7" t="s">
        <v>15</v>
      </c>
      <c r="B13" s="2">
        <f>VLOOKUP($A13,Dataset!$A$2:$X$40,7,FALSE)</f>
        <v>0</v>
      </c>
      <c r="C13" s="12">
        <f>VLOOKUP($A13, Dataset!$A$2:$X$40, 14, FALSE)</f>
        <v>0</v>
      </c>
      <c r="D13" s="12">
        <f>VLOOKUP($A13, Dataset!$A$2:$X$40, 18, FALSE)</f>
        <v>0</v>
      </c>
      <c r="E13" s="12">
        <f>VLOOKUP($A13, Dataset!$A$2:$X$40, 20, FALSE)</f>
        <v>0</v>
      </c>
      <c r="F13" s="8">
        <f>VLOOKUP($A13, Dataset!$A$2:$X$40, 22, FALSE)</f>
        <v>0</v>
      </c>
    </row>
    <row r="14" spans="1:7" ht="14.4" x14ac:dyDescent="0.3">
      <c r="A14" s="7" t="s">
        <v>16</v>
      </c>
      <c r="B14" s="2">
        <f>VLOOKUP($A14,Dataset!$A$2:$X$40,7,FALSE)</f>
        <v>21.9</v>
      </c>
      <c r="C14" s="12">
        <f>VLOOKUP($A14, Dataset!$A$2:$X$40, 14, FALSE)</f>
        <v>61.5</v>
      </c>
      <c r="D14" s="12">
        <f>VLOOKUP($A14, Dataset!$A$2:$X$40, 18, FALSE)</f>
        <v>40.1</v>
      </c>
      <c r="E14" s="12">
        <f>VLOOKUP($A14, Dataset!$A$2:$X$40, 20, FALSE)</f>
        <v>76.599999999999994</v>
      </c>
      <c r="F14" s="8">
        <f>VLOOKUP($A14, Dataset!$A$2:$X$40, 22, FALSE)</f>
        <v>40.1</v>
      </c>
    </row>
    <row r="15" spans="1:7" ht="14.4" x14ac:dyDescent="0.3">
      <c r="A15" s="7" t="s">
        <v>18</v>
      </c>
      <c r="B15" s="2">
        <f>VLOOKUP($A15,Dataset!$A$2:$X$40,7,FALSE)</f>
        <v>26.8</v>
      </c>
      <c r="C15" s="12">
        <f>VLOOKUP($A15, Dataset!$A$2:$X$40, 14, FALSE)</f>
        <v>79.599999999999994</v>
      </c>
      <c r="D15" s="12">
        <f>VLOOKUP($A15, Dataset!$A$2:$X$40, 18, FALSE)</f>
        <v>47.9</v>
      </c>
      <c r="E15" s="12">
        <f>VLOOKUP($A15, Dataset!$A$2:$X$40, 20, FALSE)</f>
        <v>96.8</v>
      </c>
      <c r="F15" s="8">
        <f>VLOOKUP($A15, Dataset!$A$2:$X$40, 22, FALSE)</f>
        <v>47.9</v>
      </c>
    </row>
    <row r="16" spans="1:7" ht="14.4" x14ac:dyDescent="0.3">
      <c r="A16" s="7" t="s">
        <v>20</v>
      </c>
      <c r="B16" s="2">
        <f>VLOOKUP($A16,Dataset!$A$2:$X$40,7,FALSE)</f>
        <v>28.5</v>
      </c>
      <c r="C16" s="12">
        <f>VLOOKUP($A16, Dataset!$A$2:$X$40, 14, FALSE)</f>
        <v>85.4</v>
      </c>
      <c r="D16" s="12">
        <f>VLOOKUP($A16, Dataset!$A$2:$X$40, 18, FALSE)</f>
        <v>52.3</v>
      </c>
      <c r="E16" s="12">
        <f>VLOOKUP($A16, Dataset!$A$2:$X$40, 20, FALSE)</f>
        <v>106.1</v>
      </c>
      <c r="F16" s="8">
        <f>VLOOKUP($A16, Dataset!$A$2:$X$40, 22, FALSE)</f>
        <v>52.3</v>
      </c>
    </row>
    <row r="17" spans="1:6" ht="14.4" x14ac:dyDescent="0.3">
      <c r="A17" s="7" t="s">
        <v>22</v>
      </c>
      <c r="B17" s="2">
        <f>VLOOKUP($A17,Dataset!$A$2:$X$40,7,FALSE)</f>
        <v>30.7</v>
      </c>
      <c r="C17" s="12">
        <f>VLOOKUP($A17, Dataset!$A$2:$X$40, 14, FALSE)</f>
        <v>92.1</v>
      </c>
      <c r="D17" s="12">
        <f>VLOOKUP($A17, Dataset!$A$2:$X$40, 18, FALSE)</f>
        <v>57</v>
      </c>
      <c r="E17" s="12">
        <f>VLOOKUP($A17, Dataset!$A$2:$X$40, 20, FALSE)</f>
        <v>115.1</v>
      </c>
      <c r="F17" s="8">
        <f>VLOOKUP($A17, Dataset!$A$2:$X$40, 22, FALSE)</f>
        <v>57</v>
      </c>
    </row>
    <row r="18" spans="1:6" ht="14.4" x14ac:dyDescent="0.3">
      <c r="A18" s="7" t="s">
        <v>23</v>
      </c>
      <c r="B18" s="2">
        <f>VLOOKUP($A18,Dataset!$A$2:$X$40,7,FALSE)</f>
        <v>33.799999999999997</v>
      </c>
      <c r="C18" s="12">
        <f>VLOOKUP($A18, Dataset!$A$2:$X$40, 14, FALSE)</f>
        <v>101.3</v>
      </c>
      <c r="D18" s="12">
        <f>VLOOKUP($A18, Dataset!$A$2:$X$40, 18, FALSE)</f>
        <v>61.4</v>
      </c>
      <c r="E18" s="12">
        <f>VLOOKUP($A18, Dataset!$A$2:$X$40, 20, FALSE)</f>
        <v>124.4</v>
      </c>
      <c r="F18" s="8">
        <f>VLOOKUP($A18, Dataset!$A$2:$X$40, 22, FALSE)</f>
        <v>61.4</v>
      </c>
    </row>
    <row r="19" spans="1:6" ht="14.4" x14ac:dyDescent="0.3">
      <c r="A19" s="7" t="s">
        <v>24</v>
      </c>
      <c r="B19" s="2">
        <f>VLOOKUP($A19,Dataset!$A$2:$X$40,7,FALSE)</f>
        <v>34.700000000000003</v>
      </c>
      <c r="C19" s="12">
        <f>VLOOKUP($A19, Dataset!$A$2:$X$40, 14, FALSE)</f>
        <v>106.1</v>
      </c>
      <c r="D19" s="12">
        <f>VLOOKUP($A19, Dataset!$A$2:$X$40, 18, FALSE)</f>
        <v>63.6</v>
      </c>
      <c r="E19" s="12">
        <f>VLOOKUP($A19, Dataset!$A$2:$X$40, 20, FALSE)</f>
        <v>128.6</v>
      </c>
      <c r="F19" s="8">
        <f>VLOOKUP($A19, Dataset!$A$2:$X$40, 22, FALSE)</f>
        <v>63.6</v>
      </c>
    </row>
    <row r="20" spans="1:6" ht="14.4" x14ac:dyDescent="0.3">
      <c r="A20" s="7" t="s">
        <v>28</v>
      </c>
      <c r="B20" s="2">
        <f>VLOOKUP($A20,Dataset!$A$2:$X$40,7,FALSE)</f>
        <v>0</v>
      </c>
      <c r="C20" s="12">
        <f>VLOOKUP($A20, Dataset!$A$2:$X$40, 14, FALSE)</f>
        <v>0</v>
      </c>
      <c r="D20" s="12">
        <f>VLOOKUP($A20, Dataset!$A$2:$X$40, 18, FALSE)</f>
        <v>0</v>
      </c>
      <c r="E20" s="12">
        <f>VLOOKUP($A20, Dataset!$A$2:$X$40, 20, FALSE)</f>
        <v>0</v>
      </c>
      <c r="F20" s="8">
        <f>VLOOKUP($A20, Dataset!$A$2:$X$40, 22, FALSE)</f>
        <v>0</v>
      </c>
    </row>
    <row r="21" spans="1:6" ht="14.4" x14ac:dyDescent="0.3">
      <c r="A21" s="7" t="s">
        <v>57</v>
      </c>
      <c r="B21" s="2">
        <f>VLOOKUP($A21,Dataset!$A$2:$X$40,7,FALSE)</f>
        <v>41.3</v>
      </c>
      <c r="C21" s="12">
        <f>VLOOKUP($A21, Dataset!$A$2:$X$40, 14, FALSE)</f>
        <v>124.4</v>
      </c>
      <c r="D21" s="12">
        <f>VLOOKUP($A21, Dataset!$A$2:$X$40, 18, FALSE)</f>
        <v>75</v>
      </c>
      <c r="E21" s="12">
        <f>VLOOKUP($A21, Dataset!$A$2:$X$40, 20, FALSE)</f>
        <v>151.5</v>
      </c>
      <c r="F21" s="8">
        <f>VLOOKUP($A21, Dataset!$A$2:$X$40, 22, FALSE)</f>
        <v>75</v>
      </c>
    </row>
    <row r="22" spans="1:6" ht="14.4" x14ac:dyDescent="0.3">
      <c r="A22" s="7" t="s">
        <v>58</v>
      </c>
      <c r="B22" s="2">
        <f>VLOOKUP($A22,Dataset!$A$2:$X$40,7,FALSE)</f>
        <v>-1</v>
      </c>
      <c r="C22" s="12">
        <f>VLOOKUP($A22, Dataset!$A$2:$X$40, 14, FALSE)</f>
        <v>-1</v>
      </c>
      <c r="D22" s="12">
        <f>VLOOKUP($A22, Dataset!$A$2:$X$40, 18, FALSE)</f>
        <v>-1</v>
      </c>
      <c r="E22" s="12">
        <f>VLOOKUP($A22, Dataset!$A$2:$X$40, 20, FALSE)</f>
        <v>-1</v>
      </c>
      <c r="F22" s="8">
        <f>VLOOKUP($A22, Dataset!$A$2:$X$40, 22, FALSE)</f>
        <v>-1</v>
      </c>
    </row>
    <row r="23" spans="1:6" ht="14.4" x14ac:dyDescent="0.3">
      <c r="A23" s="7" t="s">
        <v>31</v>
      </c>
      <c r="B23" s="2">
        <f>VLOOKUP($A23,Dataset!$A$2:$X$40,7,FALSE)</f>
        <v>45</v>
      </c>
      <c r="C23" s="12">
        <f>VLOOKUP($A23, Dataset!$A$2:$X$40, 14, FALSE)</f>
        <v>133.4</v>
      </c>
      <c r="D23" s="12">
        <f>VLOOKUP($A23, Dataset!$A$2:$X$40, 18, FALSE)</f>
        <v>79.400000000000006</v>
      </c>
      <c r="E23" s="12">
        <f>VLOOKUP($A23, Dataset!$A$2:$X$40, 20, FALSE)</f>
        <v>160.9</v>
      </c>
      <c r="F23" s="8">
        <f>VLOOKUP($A23, Dataset!$A$2:$X$40, 22, FALSE)</f>
        <v>79.400000000000006</v>
      </c>
    </row>
    <row r="24" spans="1:6" ht="14.4" x14ac:dyDescent="0.3">
      <c r="A24" s="7" t="s">
        <v>32</v>
      </c>
      <c r="B24" s="2">
        <f>VLOOKUP($A24,Dataset!$A$2:$X$40,7,FALSE)</f>
        <v>-1</v>
      </c>
      <c r="C24" s="12">
        <f>VLOOKUP($A24, Dataset!$A$2:$X$40, 14, FALSE)</f>
        <v>-1</v>
      </c>
      <c r="D24" s="12">
        <f>VLOOKUP($A24, Dataset!$A$2:$X$40, 18, FALSE)</f>
        <v>-1</v>
      </c>
      <c r="E24" s="12">
        <f>VLOOKUP($A24, Dataset!$A$2:$X$40, 20, FALSE)</f>
        <v>-1</v>
      </c>
      <c r="F24" s="8">
        <f>VLOOKUP($A24, Dataset!$A$2:$X$40, 22, FALSE)</f>
        <v>-1</v>
      </c>
    </row>
    <row r="25" spans="1:6" ht="14.4" x14ac:dyDescent="0.3">
      <c r="A25" s="7" t="s">
        <v>34</v>
      </c>
      <c r="B25" s="2">
        <f>VLOOKUP($A25,Dataset!$A$2:$X$40,7,FALSE)</f>
        <v>43.3</v>
      </c>
      <c r="C25" s="12">
        <f>VLOOKUP($A25, Dataset!$A$2:$X$40, 14, FALSE)</f>
        <v>128.6</v>
      </c>
      <c r="D25" s="12">
        <f>VLOOKUP($A25, Dataset!$A$2:$X$40, 18, FALSE)</f>
        <v>79.400000000000006</v>
      </c>
      <c r="E25" s="12">
        <f>VLOOKUP($A25, Dataset!$A$2:$X$40, 20, FALSE)</f>
        <v>160.9</v>
      </c>
      <c r="F25" s="8">
        <f>VLOOKUP($A25, Dataset!$A$2:$X$40, 22, FALSE)</f>
        <v>79.400000000000006</v>
      </c>
    </row>
    <row r="26" spans="1:6" ht="14.4" x14ac:dyDescent="0.3">
      <c r="A26" s="7" t="s">
        <v>37</v>
      </c>
      <c r="B26" s="2">
        <f>VLOOKUP($A26,Dataset!$A$2:$X$40,7,FALSE)</f>
        <v>49.1</v>
      </c>
      <c r="C26" s="12">
        <f>VLOOKUP($A26, Dataset!$A$2:$X$40, 14, FALSE)</f>
        <v>146.80000000000001</v>
      </c>
      <c r="D26" s="12">
        <f>VLOOKUP($A26, Dataset!$A$2:$X$40, 18, FALSE)</f>
        <v>90.9</v>
      </c>
      <c r="E26" s="12">
        <f>VLOOKUP($A26, Dataset!$A$2:$X$40, 20, FALSE)</f>
        <v>183.5</v>
      </c>
      <c r="F26" s="8">
        <f>VLOOKUP($A26, Dataset!$A$2:$X$40, 22, FALSE)</f>
        <v>90.9</v>
      </c>
    </row>
    <row r="27" spans="1:6" ht="14.4" x14ac:dyDescent="0.3">
      <c r="A27" s="7" t="s">
        <v>39</v>
      </c>
      <c r="B27" s="2">
        <f>VLOOKUP($A27,Dataset!$A$2:$X$40,7,FALSE)</f>
        <v>51.8</v>
      </c>
      <c r="C27" s="12">
        <f>VLOOKUP($A27, Dataset!$A$2:$X$40, 14, FALSE)</f>
        <v>156.4</v>
      </c>
      <c r="D27" s="12">
        <f>VLOOKUP($A27, Dataset!$A$2:$X$40, 18, FALSE)</f>
        <v>93.1</v>
      </c>
      <c r="E27" s="12">
        <f>VLOOKUP($A27, Dataset!$A$2:$X$40, 20, FALSE)</f>
        <v>188.1</v>
      </c>
      <c r="F27" s="8">
        <f>VLOOKUP($A27, Dataset!$A$2:$X$40, 22, 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13" sqref="H1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38"/>
    </row>
    <row r="6" spans="1:10" ht="18" x14ac:dyDescent="0.35">
      <c r="A6" s="41" t="s">
        <v>153</v>
      </c>
      <c r="B6" s="38" t="s">
        <v>178</v>
      </c>
    </row>
    <row r="7" spans="1:10" ht="18" x14ac:dyDescent="0.35">
      <c r="A7" s="41"/>
      <c r="B7" s="38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>SUMIF(C12:C21, "&lt;&gt;#N/A", C12:C21)+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70" zoomScaleNormal="7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23.4" x14ac:dyDescent="0.45">
      <c r="A4" s="41" t="s">
        <v>53</v>
      </c>
      <c r="B4" s="43" t="s">
        <v>180</v>
      </c>
      <c r="C4" s="43"/>
      <c r="D4" s="43"/>
      <c r="J4" s="43" t="s">
        <v>181</v>
      </c>
    </row>
    <row r="5" spans="1:14" ht="18" x14ac:dyDescent="0.35">
      <c r="A5" s="41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4" x14ac:dyDescent="0.45">
      <c r="A21" s="17" t="s">
        <v>168</v>
      </c>
    </row>
    <row r="22" spans="1:14" ht="14.4" x14ac:dyDescent="0.3">
      <c r="A22" s="16" t="s">
        <v>100</v>
      </c>
      <c r="B22" s="16" t="s">
        <v>101</v>
      </c>
      <c r="C22" s="16" t="s">
        <v>102</v>
      </c>
    </row>
    <row r="23" spans="1:14" ht="14.4" x14ac:dyDescent="0.3">
      <c r="A23" s="16">
        <v>10100</v>
      </c>
      <c r="B23" s="16">
        <v>10102</v>
      </c>
      <c r="C23" s="24">
        <f>INDEX($B$10:$J$18,MATCH(A23,$M$10:$M$18,0),MATCH(B23,$M$10:$M$18,0))</f>
        <v>95</v>
      </c>
    </row>
    <row r="24" spans="1:14" ht="14.4" x14ac:dyDescent="0.3">
      <c r="A24" s="16">
        <v>10100</v>
      </c>
      <c r="B24" s="16">
        <v>10104</v>
      </c>
      <c r="C24" s="24">
        <f>INDEX($B$10:$J$18,MATCH(A24,$M$10:$M$18,0),MATCH(B24,$M$10:$M$18,0))</f>
        <v>-1</v>
      </c>
    </row>
    <row r="25" spans="1:14" ht="14.4" x14ac:dyDescent="0.3">
      <c r="A25" s="16">
        <v>10108</v>
      </c>
      <c r="B25" s="16">
        <v>10102</v>
      </c>
      <c r="C25" s="24">
        <f t="shared" ref="C24:C35" si="0">INDEX($B$10:$J$18,MATCH(A25,$M$10:$M$18,0),MATCH(B25,$M$10:$M$18,0))</f>
        <v>160</v>
      </c>
    </row>
    <row r="26" spans="1:14" ht="14.4" x14ac:dyDescent="0.3">
      <c r="A26" s="16">
        <v>10100</v>
      </c>
      <c r="B26" s="16">
        <v>10106</v>
      </c>
      <c r="C26" s="24">
        <f t="shared" si="0"/>
        <v>185</v>
      </c>
    </row>
    <row r="27" spans="1:14" ht="14.4" x14ac:dyDescent="0.3">
      <c r="A27" s="16">
        <v>10108</v>
      </c>
      <c r="B27" s="16">
        <v>10110</v>
      </c>
      <c r="C27" s="24">
        <f t="shared" si="0"/>
        <v>50</v>
      </c>
    </row>
    <row r="28" spans="1:14" ht="14.4" x14ac:dyDescent="0.3">
      <c r="A28" s="16">
        <v>10102</v>
      </c>
      <c r="B28" s="16">
        <v>10104</v>
      </c>
      <c r="C28" s="24">
        <f t="shared" si="0"/>
        <v>-1</v>
      </c>
    </row>
    <row r="29" spans="1:14" ht="14.4" x14ac:dyDescent="0.3">
      <c r="A29" s="16">
        <v>10106</v>
      </c>
      <c r="B29" s="16">
        <v>10108</v>
      </c>
      <c r="C29" s="24">
        <f t="shared" si="0"/>
        <v>70</v>
      </c>
    </row>
    <row r="30" spans="1:14" ht="14.4" x14ac:dyDescent="0.3">
      <c r="A30" s="16">
        <v>10102</v>
      </c>
      <c r="B30" s="16">
        <v>10106</v>
      </c>
      <c r="C30" s="24">
        <f t="shared" si="0"/>
        <v>90</v>
      </c>
    </row>
    <row r="31" spans="1:14" ht="14.4" x14ac:dyDescent="0.3">
      <c r="A31" s="16">
        <v>10110</v>
      </c>
      <c r="B31" s="16">
        <v>10114</v>
      </c>
      <c r="C31" s="24">
        <f t="shared" si="0"/>
        <v>180</v>
      </c>
    </row>
    <row r="32" spans="1:14" ht="14.4" x14ac:dyDescent="0.3">
      <c r="A32" s="16">
        <v>10104</v>
      </c>
      <c r="B32" s="16">
        <v>10106</v>
      </c>
      <c r="C32" s="24">
        <f t="shared" si="0"/>
        <v>60</v>
      </c>
    </row>
    <row r="33" spans="1:3" ht="14.4" x14ac:dyDescent="0.3">
      <c r="A33" s="16">
        <v>10110</v>
      </c>
      <c r="B33" s="16">
        <v>10112</v>
      </c>
      <c r="C33" s="24">
        <f t="shared" si="0"/>
        <v>115</v>
      </c>
    </row>
    <row r="34" spans="1:3" ht="14.4" x14ac:dyDescent="0.3">
      <c r="A34" s="16">
        <v>10100</v>
      </c>
      <c r="B34" s="16">
        <v>10114</v>
      </c>
      <c r="C34" s="24">
        <f t="shared" si="0"/>
        <v>480</v>
      </c>
    </row>
    <row r="35" spans="1:3" ht="14.4" x14ac:dyDescent="0.3">
      <c r="A35" s="16">
        <v>10112</v>
      </c>
      <c r="B35" s="16">
        <v>10116</v>
      </c>
      <c r="C35" s="2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Ananya Mohapatra</cp:lastModifiedBy>
  <dcterms:created xsi:type="dcterms:W3CDTF">2015-02-10T17:33:11Z</dcterms:created>
  <dcterms:modified xsi:type="dcterms:W3CDTF">2023-12-11T12:29:53Z</dcterms:modified>
</cp:coreProperties>
</file>